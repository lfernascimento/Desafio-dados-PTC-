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ronze" sheetId="1" state="visible" r:id="rId3"/>
    <sheet name="Prata" sheetId="2" state="visible" r:id="rId4"/>
    <sheet name="Ouro" sheetId="3" state="visible" r:id="rId5"/>
    <sheet name="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<sst xmlns="http://schemas.openxmlformats.org/spreadsheetml/2006/main" count="462" uniqueCount="88">
  <si>
    <t xml:space="preserve">Pedido</t>
  </si>
  <si>
    <t xml:space="preserve">Data</t>
  </si>
  <si>
    <t xml:space="preserve">Cliente</t>
  </si>
  <si>
    <t xml:space="preserve">Cidade</t>
  </si>
  <si>
    <t xml:space="preserve">Produto</t>
  </si>
  <si>
    <t xml:space="preserve">Valor (R$)</t>
  </si>
  <si>
    <t xml:space="preserve">2026-01-01</t>
  </si>
  <si>
    <t xml:space="preserve">Irrigação Vale Forte</t>
  </si>
  <si>
    <t xml:space="preserve">Petrolina</t>
  </si>
  <si>
    <t xml:space="preserve">Tubo galvanizado 2"</t>
  </si>
  <si>
    <t xml:space="preserve">Grades Caruaru</t>
  </si>
  <si>
    <t xml:space="preserve">Caruaru</t>
  </si>
  <si>
    <t xml:space="preserve">Barra chata 1"</t>
  </si>
  <si>
    <t xml:space="preserve">Serralheria Capibaribe</t>
  </si>
  <si>
    <t xml:space="preserve">recife</t>
  </si>
  <si>
    <t xml:space="preserve">Telha trapezoidal</t>
  </si>
  <si>
    <t xml:space="preserve">Recife</t>
  </si>
  <si>
    <t xml:space="preserve">Chapa de aço 3 mm</t>
  </si>
  <si>
    <t xml:space="preserve">2026-01-16</t>
  </si>
  <si>
    <t xml:space="preserve">Agro Estruturas São Francisco</t>
  </si>
  <si>
    <t xml:space="preserve">Perfil U enrijecido</t>
  </si>
  <si>
    <t xml:space="preserve">2026-01-27</t>
  </si>
  <si>
    <t xml:space="preserve">Cantoneira 1/2"</t>
  </si>
  <si>
    <t xml:space="preserve">01-fev-2026</t>
  </si>
  <si>
    <t xml:space="preserve">Estaleiro Porto Novo</t>
  </si>
  <si>
    <t xml:space="preserve">REC</t>
  </si>
  <si>
    <t xml:space="preserve">Calhas Olinda</t>
  </si>
  <si>
    <t xml:space="preserve">Olinda</t>
  </si>
  <si>
    <t xml:space="preserve">R$ 630,00</t>
  </si>
  <si>
    <t xml:space="preserve">2026-02-19</t>
  </si>
  <si>
    <t xml:space="preserve">Estruturas Piedade</t>
  </si>
  <si>
    <t xml:space="preserve">Jaboatão dos Guararapes</t>
  </si>
  <si>
    <t xml:space="preserve">2026-02-26</t>
  </si>
  <si>
    <t xml:space="preserve">R$ 2.240,00</t>
  </si>
  <si>
    <t xml:space="preserve">Construtora Boa Vista</t>
  </si>
  <si>
    <t xml:space="preserve">2026-02-27</t>
  </si>
  <si>
    <t xml:space="preserve">2026-03-05</t>
  </si>
  <si>
    <t xml:space="preserve">Metalfer Agreste</t>
  </si>
  <si>
    <t xml:space="preserve">06-mar-2026</t>
  </si>
  <si>
    <t xml:space="preserve">R$ 2.140,00</t>
  </si>
  <si>
    <t xml:space="preserve">Esquadrias Recife Antigo</t>
  </si>
  <si>
    <t xml:space="preserve">R$ 5.480,00</t>
  </si>
  <si>
    <t xml:space="preserve">Indústria Guararapes</t>
  </si>
  <si>
    <t xml:space="preserve">12-mar-2026</t>
  </si>
  <si>
    <t xml:space="preserve">R$ 6.190,00</t>
  </si>
  <si>
    <t xml:space="preserve">2026-03-14</t>
  </si>
  <si>
    <t xml:space="preserve">15-mar-2026</t>
  </si>
  <si>
    <t xml:space="preserve">19-mar-2026</t>
  </si>
  <si>
    <t xml:space="preserve">20-mar-2026</t>
  </si>
  <si>
    <t xml:space="preserve">Serralheria Alto da Sé</t>
  </si>
  <si>
    <t xml:space="preserve">2026-03-21</t>
  </si>
  <si>
    <t xml:space="preserve">R$ 4.960,00</t>
  </si>
  <si>
    <t xml:space="preserve">2026-04-13</t>
  </si>
  <si>
    <t xml:space="preserve">Mês</t>
  </si>
  <si>
    <t xml:space="preserve">01/2026</t>
  </si>
  <si>
    <t xml:space="preserve">02/2026</t>
  </si>
  <si>
    <t xml:space="preserve">03/2026</t>
  </si>
  <si>
    <t xml:space="preserve">04/2026</t>
  </si>
  <si>
    <t xml:space="preserve">Total</t>
  </si>
  <si>
    <t xml:space="preserve">Resposta</t>
  </si>
  <si>
    <t xml:space="preserve">A cidade que mais comprou foi Recife, com R$ 55.260,00 no total (Caruaru vem em segundo, com R$ 43.140,00). O mês em que Recife mais comprou foi março de 2026 (R$ 29.730,00), que também foi o mês de maior faturamento geral (R$ 79.460,00).</t>
  </si>
  <si>
    <t xml:space="preserve">O que encontrei</t>
  </si>
  <si>
    <t xml:space="preserve">O que fiz</t>
  </si>
  <si>
    <t xml:space="preserve">Linhas afetadas</t>
  </si>
  <si>
    <t xml:space="preserve">Justificativa (se houve dúvida)</t>
  </si>
  <si>
    <t xml:space="preserve">3 linhas totalmente vazias e com as colunas em branco.</t>
  </si>
  <si>
    <t xml:space="preserve">Removi as 3 linhas</t>
  </si>
  <si>
    <t xml:space="preserve">Bronze: 16, 35, 53</t>
  </si>
  <si>
    <t xml:space="preserve">Remover linhas vazias permite que a tabela seja mais legível.</t>
  </si>
  <si>
    <t xml:space="preserve">4 pedidos duplicados (linhas idênticas em todas as colunas): pedido 1015, pedido 1027, pedido 1023 e pedido 1047.</t>
  </si>
  <si>
    <t xml:space="preserve">Removi a repetição e mantive a primeira ocorrência</t>
  </si>
  <si>
    <t xml:space="preserve">Bronze: 25, 33, 36, 61</t>
  </si>
  <si>
    <t xml:space="preserve">Linhas 100% idênticas, é a mesma venda lançada duas vezes, portanto conta-las inflaria o faturamento. Conferi que nenhum nº de pedido se repete com dados diferentes.</t>
  </si>
  <si>
    <t xml:space="preserve">Datas em 3 formatos diferentes </t>
  </si>
  <si>
    <t xml:space="preserve">Converti tudo para data real e padronizei a exibição como DD/MM/AAAA</t>
  </si>
  <si>
    <t xml:space="preserve">Bronze: 2, 6, 7, 8, 17, 21, 23, 24, 28, 32, 37, 38, 40, 43, 45, 47, 56 (as que estavam como texto)</t>
  </si>
  <si>
    <t xml:space="preserve">As datas foram interpretadas e organizadas como dia-mês-ano, seguindo a sequência dos registros, para ficar no formato padrão utilizado no Brasil.</t>
  </si>
  <si>
    <t xml:space="preserve">Cidade escrita de 3 formas: "Recife", "recife" e "REC"</t>
  </si>
  <si>
    <t xml:space="preserve">Padronizei tudo como "Recife"</t>
  </si>
  <si>
    <t xml:space="preserve">Bronze: 4, 9, 18, 21, 28, 32, 37, 39, 51, 59 (as 5 "recife" e as 5 "REC")</t>
  </si>
  <si>
    <t xml:space="preserve">"recife" é diferença de maiúscula e minúscula, para padrozinar em uma tabela de negócios, optei pela norma culta. "REC" foi lido como sigla de Recife. </t>
  </si>
  <si>
    <t xml:space="preserve">Valores monetários digitados como texto. </t>
  </si>
  <si>
    <t xml:space="preserve">Removi "R$", tirei o ponto de milhar, troquei a vírgula decimal por ponto e converti para número</t>
  </si>
  <si>
    <t xml:space="preserve">Bronze: 15, 21, 28, 29, 32, 44, 51</t>
  </si>
  <si>
    <t xml:space="preserve">Interpretei ponto como milhar e vírgula como decimal, que é o padrão BR: "R$ 2.240,00" = 2240. Conferi que os valores convertidos ficam na mesma faixa dos pedidos que já pertenciam.</t>
  </si>
  <si>
    <t xml:space="preserve">Para a aba Ouro, ainda faltava a coluna por mês na aba Prata.</t>
  </si>
  <si>
    <t xml:space="preserve">Acrescentei a coluna "Mês", calculada a partir da data já padronizada.</t>
  </si>
  <si>
    <t xml:space="preserve">Prata: coluna G, linhas 2 a 54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</si>
</sst>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dd/mm/yyyy"/>
    <numFmt numFmtId="167" formatCode="&quot;R$ &quot;#,##0.0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2"/>
      <color theme="1"/>
      <name val="Cambria"/>
      <family val="0"/>
      <charset val="1"/>
    </font>
    <font>
      <i val="true"/>
      <sz val="11"/>
      <color theme="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1001</v>
      </c>
      <c r="B2" s="2" t="s">
        <v>6</v>
      </c>
      <c r="C2" s="2" t="s">
        <v>7</v>
      </c>
      <c r="D2" s="2" t="s">
        <v>8</v>
      </c>
      <c r="E2" s="2" t="s">
        <v>9</v>
      </c>
      <c r="F2" s="2" t="n">
        <v>3260</v>
      </c>
    </row>
    <row r="3" customFormat="false" ht="15" hidden="false" customHeight="false" outlineLevel="0" collapsed="false">
      <c r="A3" s="2" t="n">
        <v>1002</v>
      </c>
      <c r="B3" s="3" t="n">
        <v>46024</v>
      </c>
      <c r="C3" s="4" t="s">
        <v>10</v>
      </c>
      <c r="D3" s="4" t="s">
        <v>11</v>
      </c>
      <c r="E3" s="4" t="s">
        <v>12</v>
      </c>
      <c r="F3" s="2" t="n">
        <v>3570</v>
      </c>
    </row>
    <row r="4" customFormat="false" ht="15" hidden="false" customHeight="false" outlineLevel="0" collapsed="false">
      <c r="A4" s="2" t="n">
        <v>1003</v>
      </c>
      <c r="B4" s="3" t="n">
        <v>46028</v>
      </c>
      <c r="C4" s="4" t="s">
        <v>13</v>
      </c>
      <c r="D4" s="4" t="s">
        <v>14</v>
      </c>
      <c r="E4" s="4" t="s">
        <v>15</v>
      </c>
      <c r="F4" s="2" t="n">
        <v>1940</v>
      </c>
    </row>
    <row r="5" customFormat="false" ht="15" hidden="false" customHeight="false" outlineLevel="0" collapsed="false">
      <c r="A5" s="2" t="n">
        <v>1004</v>
      </c>
      <c r="B5" s="3" t="n">
        <v>46029</v>
      </c>
      <c r="C5" s="4" t="s">
        <v>13</v>
      </c>
      <c r="D5" s="4" t="s">
        <v>16</v>
      </c>
      <c r="E5" s="4" t="s">
        <v>17</v>
      </c>
      <c r="F5" s="2" t="n">
        <v>4910</v>
      </c>
    </row>
    <row r="6" customFormat="false" ht="15" hidden="false" customHeight="false" outlineLevel="0" collapsed="false">
      <c r="A6" s="2" t="n">
        <v>1005</v>
      </c>
      <c r="B6" s="2" t="s">
        <v>18</v>
      </c>
      <c r="C6" s="2" t="s">
        <v>19</v>
      </c>
      <c r="D6" s="2" t="s">
        <v>8</v>
      </c>
      <c r="E6" s="2" t="s">
        <v>20</v>
      </c>
      <c r="F6" s="2" t="n">
        <v>4500</v>
      </c>
    </row>
    <row r="7" customFormat="false" ht="15" hidden="false" customHeight="false" outlineLevel="0" collapsed="false">
      <c r="A7" s="2" t="n">
        <v>1006</v>
      </c>
      <c r="B7" s="2" t="s">
        <v>21</v>
      </c>
      <c r="C7" s="2" t="s">
        <v>7</v>
      </c>
      <c r="D7" s="2" t="s">
        <v>8</v>
      </c>
      <c r="E7" s="2" t="s">
        <v>22</v>
      </c>
      <c r="F7" s="2" t="n">
        <v>1350</v>
      </c>
    </row>
    <row r="8" customFormat="false" ht="15" hidden="false" customHeight="false" outlineLevel="0" collapsed="false">
      <c r="A8" s="2" t="n">
        <v>1007</v>
      </c>
      <c r="B8" s="2" t="s">
        <v>23</v>
      </c>
      <c r="C8" s="2" t="s">
        <v>10</v>
      </c>
      <c r="D8" s="2" t="s">
        <v>11</v>
      </c>
      <c r="E8" s="2" t="s">
        <v>20</v>
      </c>
      <c r="F8" s="2" t="n">
        <v>5360</v>
      </c>
    </row>
    <row r="9" customFormat="false" ht="15" hidden="false" customHeight="false" outlineLevel="0" collapsed="false">
      <c r="A9" s="2" t="n">
        <v>1008</v>
      </c>
      <c r="B9" s="3" t="n">
        <v>46057</v>
      </c>
      <c r="C9" s="4" t="s">
        <v>24</v>
      </c>
      <c r="D9" s="4" t="s">
        <v>25</v>
      </c>
      <c r="E9" s="4" t="s">
        <v>22</v>
      </c>
      <c r="F9" s="2" t="n">
        <v>3900</v>
      </c>
    </row>
    <row r="10" customFormat="false" ht="15" hidden="false" customHeight="false" outlineLevel="0" collapsed="false">
      <c r="A10" s="2" t="n">
        <v>1009</v>
      </c>
      <c r="B10" s="3" t="n">
        <v>46059</v>
      </c>
      <c r="C10" s="4" t="s">
        <v>13</v>
      </c>
      <c r="D10" s="4" t="s">
        <v>16</v>
      </c>
      <c r="E10" s="4" t="s">
        <v>12</v>
      </c>
      <c r="F10" s="2" t="n">
        <v>4040</v>
      </c>
    </row>
    <row r="11" customFormat="false" ht="15" hidden="false" customHeight="false" outlineLevel="0" collapsed="false">
      <c r="A11" s="2" t="n">
        <v>1010</v>
      </c>
      <c r="B11" s="3" t="n">
        <v>46060</v>
      </c>
      <c r="C11" s="4" t="s">
        <v>26</v>
      </c>
      <c r="D11" s="4" t="s">
        <v>27</v>
      </c>
      <c r="E11" s="4" t="s">
        <v>9</v>
      </c>
      <c r="F11" s="2" t="n">
        <v>5700</v>
      </c>
    </row>
    <row r="12" customFormat="false" ht="15" hidden="false" customHeight="false" outlineLevel="0" collapsed="false">
      <c r="A12" s="2" t="n">
        <v>1011</v>
      </c>
      <c r="B12" s="3" t="n">
        <v>46066</v>
      </c>
      <c r="C12" s="4" t="s">
        <v>26</v>
      </c>
      <c r="D12" s="4" t="s">
        <v>27</v>
      </c>
      <c r="E12" s="4" t="s">
        <v>17</v>
      </c>
      <c r="F12" s="2" t="n">
        <v>4400</v>
      </c>
    </row>
    <row r="13" customFormat="false" ht="15" hidden="false" customHeight="false" outlineLevel="0" collapsed="false">
      <c r="A13" s="2" t="n">
        <v>1012</v>
      </c>
      <c r="B13" s="3" t="n">
        <v>46068</v>
      </c>
      <c r="C13" s="4" t="s">
        <v>10</v>
      </c>
      <c r="D13" s="4" t="s">
        <v>11</v>
      </c>
      <c r="E13" s="4" t="s">
        <v>9</v>
      </c>
      <c r="F13" s="2" t="n">
        <v>4510</v>
      </c>
    </row>
    <row r="14" customFormat="false" ht="15" hidden="false" customHeight="false" outlineLevel="0" collapsed="false">
      <c r="A14" s="2" t="n">
        <v>1013</v>
      </c>
      <c r="B14" s="3" t="n">
        <v>46069</v>
      </c>
      <c r="C14" s="4" t="s">
        <v>24</v>
      </c>
      <c r="D14" s="4" t="s">
        <v>16</v>
      </c>
      <c r="E14" s="4" t="s">
        <v>20</v>
      </c>
      <c r="F14" s="2" t="n">
        <v>2410</v>
      </c>
    </row>
    <row r="15" customFormat="false" ht="15" hidden="false" customHeight="false" outlineLevel="0" collapsed="false">
      <c r="A15" s="2" t="n">
        <v>1014</v>
      </c>
      <c r="B15" s="3" t="n">
        <v>46070</v>
      </c>
      <c r="C15" s="4" t="s">
        <v>19</v>
      </c>
      <c r="D15" s="4" t="s">
        <v>8</v>
      </c>
      <c r="E15" s="4" t="s">
        <v>12</v>
      </c>
      <c r="F15" s="4" t="s">
        <v>28</v>
      </c>
    </row>
    <row r="17" customFormat="false" ht="15" hidden="false" customHeight="false" outlineLevel="0" collapsed="false">
      <c r="A17" s="2" t="n">
        <v>1015</v>
      </c>
      <c r="B17" s="2" t="s">
        <v>29</v>
      </c>
      <c r="C17" s="2" t="s">
        <v>10</v>
      </c>
      <c r="D17" s="2" t="s">
        <v>11</v>
      </c>
      <c r="E17" s="2" t="s">
        <v>20</v>
      </c>
      <c r="F17" s="2" t="n">
        <v>5160</v>
      </c>
    </row>
    <row r="18" customFormat="false" ht="15" hidden="false" customHeight="false" outlineLevel="0" collapsed="false">
      <c r="A18" s="2" t="n">
        <v>1016</v>
      </c>
      <c r="B18" s="3" t="n">
        <v>46073</v>
      </c>
      <c r="C18" s="4" t="s">
        <v>13</v>
      </c>
      <c r="D18" s="4" t="s">
        <v>25</v>
      </c>
      <c r="E18" s="4" t="s">
        <v>22</v>
      </c>
      <c r="F18" s="2" t="n">
        <v>2390</v>
      </c>
    </row>
    <row r="19" customFormat="false" ht="15" hidden="false" customHeight="false" outlineLevel="0" collapsed="false">
      <c r="A19" s="2" t="n">
        <v>1017</v>
      </c>
      <c r="B19" s="3" t="n">
        <v>46076</v>
      </c>
      <c r="C19" s="4" t="s">
        <v>30</v>
      </c>
      <c r="D19" s="4" t="s">
        <v>31</v>
      </c>
      <c r="E19" s="4" t="s">
        <v>15</v>
      </c>
      <c r="F19" s="2" t="n">
        <v>3920</v>
      </c>
    </row>
    <row r="20" customFormat="false" ht="15" hidden="false" customHeight="false" outlineLevel="0" collapsed="false">
      <c r="A20" s="2" t="n">
        <v>1018</v>
      </c>
      <c r="B20" s="3" t="n">
        <v>46078</v>
      </c>
      <c r="C20" s="4" t="s">
        <v>19</v>
      </c>
      <c r="D20" s="4" t="s">
        <v>8</v>
      </c>
      <c r="E20" s="4" t="s">
        <v>15</v>
      </c>
      <c r="F20" s="2" t="n">
        <v>3340</v>
      </c>
    </row>
    <row r="21" customFormat="false" ht="15.75" hidden="false" customHeight="true" outlineLevel="0" collapsed="false">
      <c r="A21" s="2" t="n">
        <v>1019</v>
      </c>
      <c r="B21" s="2" t="s">
        <v>32</v>
      </c>
      <c r="C21" s="2" t="s">
        <v>13</v>
      </c>
      <c r="D21" s="2" t="s">
        <v>14</v>
      </c>
      <c r="E21" s="2" t="s">
        <v>17</v>
      </c>
      <c r="F21" s="2" t="s">
        <v>33</v>
      </c>
    </row>
    <row r="22" customFormat="false" ht="15.75" hidden="false" customHeight="true" outlineLevel="0" collapsed="false">
      <c r="A22" s="2" t="n">
        <v>1020</v>
      </c>
      <c r="B22" s="3" t="n">
        <v>46079</v>
      </c>
      <c r="C22" s="4" t="s">
        <v>34</v>
      </c>
      <c r="D22" s="4" t="s">
        <v>16</v>
      </c>
      <c r="E22" s="4" t="s">
        <v>22</v>
      </c>
      <c r="F22" s="2" t="n">
        <v>1260</v>
      </c>
    </row>
    <row r="23" customFormat="false" ht="15.75" hidden="false" customHeight="true" outlineLevel="0" collapsed="false">
      <c r="A23" s="2" t="n">
        <v>1021</v>
      </c>
      <c r="B23" s="2" t="s">
        <v>35</v>
      </c>
      <c r="C23" s="2" t="s">
        <v>7</v>
      </c>
      <c r="D23" s="2" t="s">
        <v>8</v>
      </c>
      <c r="E23" s="2" t="s">
        <v>15</v>
      </c>
      <c r="F23" s="2" t="n">
        <v>4800</v>
      </c>
    </row>
    <row r="24" customFormat="false" ht="15.75" hidden="false" customHeight="true" outlineLevel="0" collapsed="false">
      <c r="A24" s="2" t="n">
        <v>1022</v>
      </c>
      <c r="B24" s="2" t="s">
        <v>36</v>
      </c>
      <c r="C24" s="2" t="s">
        <v>30</v>
      </c>
      <c r="D24" s="2" t="s">
        <v>31</v>
      </c>
      <c r="E24" s="2" t="s">
        <v>12</v>
      </c>
      <c r="F24" s="2" t="n">
        <v>2980</v>
      </c>
    </row>
    <row r="25" customFormat="false" ht="15.75" hidden="false" customHeight="true" outlineLevel="0" collapsed="false">
      <c r="A25" s="2" t="n">
        <v>1015</v>
      </c>
      <c r="B25" s="2" t="s">
        <v>29</v>
      </c>
      <c r="C25" s="2" t="s">
        <v>10</v>
      </c>
      <c r="D25" s="2" t="s">
        <v>11</v>
      </c>
      <c r="E25" s="2" t="s">
        <v>20</v>
      </c>
      <c r="F25" s="2" t="n">
        <v>5160</v>
      </c>
    </row>
    <row r="26" customFormat="false" ht="15.75" hidden="false" customHeight="true" outlineLevel="0" collapsed="false">
      <c r="A26" s="2" t="n">
        <v>1023</v>
      </c>
      <c r="B26" s="3" t="n">
        <v>46086</v>
      </c>
      <c r="C26" s="4" t="s">
        <v>37</v>
      </c>
      <c r="D26" s="4" t="s">
        <v>11</v>
      </c>
      <c r="E26" s="4" t="s">
        <v>12</v>
      </c>
      <c r="F26" s="2" t="n">
        <v>5960</v>
      </c>
    </row>
    <row r="27" customFormat="false" ht="15.75" hidden="false" customHeight="true" outlineLevel="0" collapsed="false">
      <c r="A27" s="2" t="n">
        <v>1024</v>
      </c>
      <c r="B27" s="3" t="n">
        <v>46087</v>
      </c>
      <c r="C27" s="4" t="s">
        <v>7</v>
      </c>
      <c r="D27" s="4" t="s">
        <v>8</v>
      </c>
      <c r="E27" s="4" t="s">
        <v>17</v>
      </c>
      <c r="F27" s="2" t="n">
        <v>1590</v>
      </c>
    </row>
    <row r="28" customFormat="false" ht="15.75" hidden="false" customHeight="true" outlineLevel="0" collapsed="false">
      <c r="A28" s="2" t="n">
        <v>1025</v>
      </c>
      <c r="B28" s="2" t="s">
        <v>38</v>
      </c>
      <c r="C28" s="2" t="s">
        <v>13</v>
      </c>
      <c r="D28" s="2" t="s">
        <v>25</v>
      </c>
      <c r="E28" s="2" t="s">
        <v>17</v>
      </c>
      <c r="F28" s="2" t="s">
        <v>39</v>
      </c>
    </row>
    <row r="29" customFormat="false" ht="15.75" hidden="false" customHeight="true" outlineLevel="0" collapsed="false">
      <c r="A29" s="2" t="n">
        <v>1026</v>
      </c>
      <c r="B29" s="3" t="n">
        <v>46088</v>
      </c>
      <c r="C29" s="4" t="s">
        <v>40</v>
      </c>
      <c r="D29" s="4" t="s">
        <v>16</v>
      </c>
      <c r="E29" s="4" t="s">
        <v>9</v>
      </c>
      <c r="F29" s="4" t="s">
        <v>41</v>
      </c>
    </row>
    <row r="30" customFormat="false" ht="15.75" hidden="false" customHeight="true" outlineLevel="0" collapsed="false">
      <c r="A30" s="2" t="n">
        <v>1027</v>
      </c>
      <c r="B30" s="3" t="n">
        <v>46091</v>
      </c>
      <c r="C30" s="4" t="s">
        <v>37</v>
      </c>
      <c r="D30" s="4" t="s">
        <v>11</v>
      </c>
      <c r="E30" s="4" t="s">
        <v>22</v>
      </c>
      <c r="F30" s="2" t="n">
        <v>440</v>
      </c>
    </row>
    <row r="31" customFormat="false" ht="15.75" hidden="false" customHeight="true" outlineLevel="0" collapsed="false">
      <c r="A31" s="2" t="n">
        <v>1028</v>
      </c>
      <c r="B31" s="3" t="n">
        <v>46093</v>
      </c>
      <c r="C31" s="4" t="s">
        <v>42</v>
      </c>
      <c r="D31" s="4" t="s">
        <v>31</v>
      </c>
      <c r="E31" s="4" t="s">
        <v>20</v>
      </c>
      <c r="F31" s="2" t="n">
        <v>4290</v>
      </c>
    </row>
    <row r="32" customFormat="false" ht="15.75" hidden="false" customHeight="true" outlineLevel="0" collapsed="false">
      <c r="A32" s="2" t="n">
        <v>1029</v>
      </c>
      <c r="B32" s="2" t="s">
        <v>43</v>
      </c>
      <c r="C32" s="2" t="s">
        <v>24</v>
      </c>
      <c r="D32" s="2" t="s">
        <v>25</v>
      </c>
      <c r="E32" s="2" t="s">
        <v>20</v>
      </c>
      <c r="F32" s="2" t="s">
        <v>44</v>
      </c>
    </row>
    <row r="33" customFormat="false" ht="15.75" hidden="false" customHeight="true" outlineLevel="0" collapsed="false">
      <c r="A33" s="2" t="n">
        <v>1027</v>
      </c>
      <c r="B33" s="3" t="n">
        <v>46091</v>
      </c>
      <c r="C33" s="4" t="s">
        <v>37</v>
      </c>
      <c r="D33" s="4" t="s">
        <v>11</v>
      </c>
      <c r="E33" s="4" t="s">
        <v>22</v>
      </c>
      <c r="F33" s="2" t="n">
        <v>440</v>
      </c>
    </row>
    <row r="34" customFormat="false" ht="15.75" hidden="false" customHeight="true" outlineLevel="0" collapsed="false">
      <c r="A34" s="2" t="n">
        <v>1030</v>
      </c>
      <c r="B34" s="3" t="n">
        <v>46093</v>
      </c>
      <c r="C34" s="4" t="s">
        <v>37</v>
      </c>
      <c r="D34" s="4" t="s">
        <v>11</v>
      </c>
      <c r="E34" s="4" t="s">
        <v>17</v>
      </c>
      <c r="F34" s="2" t="n">
        <v>1220</v>
      </c>
    </row>
    <row r="35" customFormat="false" ht="15.75" hidden="false" customHeight="true" outlineLevel="0" collapsed="false"/>
    <row r="36" customFormat="false" ht="15.75" hidden="false" customHeight="true" outlineLevel="0" collapsed="false">
      <c r="A36" s="2" t="n">
        <v>1023</v>
      </c>
      <c r="B36" s="3" t="n">
        <v>46086</v>
      </c>
      <c r="C36" s="4" t="s">
        <v>37</v>
      </c>
      <c r="D36" s="4" t="s">
        <v>11</v>
      </c>
      <c r="E36" s="4" t="s">
        <v>12</v>
      </c>
      <c r="F36" s="2" t="n">
        <v>5960</v>
      </c>
    </row>
    <row r="37" customFormat="false" ht="15.75" hidden="false" customHeight="true" outlineLevel="0" collapsed="false">
      <c r="A37" s="2" t="n">
        <v>1031</v>
      </c>
      <c r="B37" s="2" t="s">
        <v>45</v>
      </c>
      <c r="C37" s="2" t="s">
        <v>24</v>
      </c>
      <c r="D37" s="2" t="s">
        <v>14</v>
      </c>
      <c r="E37" s="2" t="s">
        <v>20</v>
      </c>
      <c r="F37" s="2" t="n">
        <v>2080</v>
      </c>
    </row>
    <row r="38" customFormat="false" ht="15.75" hidden="false" customHeight="true" outlineLevel="0" collapsed="false">
      <c r="A38" s="2" t="n">
        <v>1032</v>
      </c>
      <c r="B38" s="2" t="s">
        <v>45</v>
      </c>
      <c r="C38" s="2" t="s">
        <v>42</v>
      </c>
      <c r="D38" s="2" t="s">
        <v>31</v>
      </c>
      <c r="E38" s="2" t="s">
        <v>12</v>
      </c>
      <c r="F38" s="2" t="n">
        <v>800</v>
      </c>
    </row>
    <row r="39" customFormat="false" ht="15.75" hidden="false" customHeight="true" outlineLevel="0" collapsed="false">
      <c r="A39" s="2" t="n">
        <v>1033</v>
      </c>
      <c r="B39" s="3" t="n">
        <v>46096</v>
      </c>
      <c r="C39" s="4" t="s">
        <v>34</v>
      </c>
      <c r="D39" s="4" t="s">
        <v>14</v>
      </c>
      <c r="E39" s="4" t="s">
        <v>17</v>
      </c>
      <c r="F39" s="2" t="n">
        <v>3340</v>
      </c>
    </row>
    <row r="40" customFormat="false" ht="15.75" hidden="false" customHeight="true" outlineLevel="0" collapsed="false">
      <c r="A40" s="2" t="n">
        <v>1034</v>
      </c>
      <c r="B40" s="2" t="s">
        <v>46</v>
      </c>
      <c r="C40" s="2" t="s">
        <v>10</v>
      </c>
      <c r="D40" s="2" t="s">
        <v>11</v>
      </c>
      <c r="E40" s="2" t="s">
        <v>17</v>
      </c>
      <c r="F40" s="2" t="n">
        <v>4510</v>
      </c>
    </row>
    <row r="41" customFormat="false" ht="15.75" hidden="false" customHeight="true" outlineLevel="0" collapsed="false">
      <c r="A41" s="2" t="n">
        <v>1035</v>
      </c>
      <c r="B41" s="3" t="n">
        <v>46097</v>
      </c>
      <c r="C41" s="4" t="s">
        <v>42</v>
      </c>
      <c r="D41" s="4" t="s">
        <v>31</v>
      </c>
      <c r="E41" s="4" t="s">
        <v>22</v>
      </c>
      <c r="F41" s="2" t="n">
        <v>1650</v>
      </c>
    </row>
    <row r="42" customFormat="false" ht="15.75" hidden="false" customHeight="true" outlineLevel="0" collapsed="false">
      <c r="A42" s="2" t="n">
        <v>1036</v>
      </c>
      <c r="B42" s="3" t="n">
        <v>46097</v>
      </c>
      <c r="C42" s="4" t="s">
        <v>30</v>
      </c>
      <c r="D42" s="4" t="s">
        <v>31</v>
      </c>
      <c r="E42" s="4" t="s">
        <v>17</v>
      </c>
      <c r="F42" s="2" t="n">
        <v>5350</v>
      </c>
    </row>
    <row r="43" customFormat="false" ht="15.75" hidden="false" customHeight="true" outlineLevel="0" collapsed="false">
      <c r="A43" s="2" t="n">
        <v>1037</v>
      </c>
      <c r="B43" s="2" t="s">
        <v>47</v>
      </c>
      <c r="C43" s="2" t="s">
        <v>26</v>
      </c>
      <c r="D43" s="2" t="s">
        <v>27</v>
      </c>
      <c r="E43" s="2" t="s">
        <v>9</v>
      </c>
      <c r="F43" s="2" t="n">
        <v>5040</v>
      </c>
    </row>
    <row r="44" customFormat="false" ht="15.75" hidden="false" customHeight="true" outlineLevel="0" collapsed="false">
      <c r="A44" s="2" t="n">
        <v>1038</v>
      </c>
      <c r="B44" s="3" t="n">
        <v>46101</v>
      </c>
      <c r="C44" s="4" t="s">
        <v>10</v>
      </c>
      <c r="D44" s="4" t="s">
        <v>11</v>
      </c>
      <c r="E44" s="4" t="s">
        <v>22</v>
      </c>
      <c r="F44" s="4" t="s">
        <v>41</v>
      </c>
    </row>
    <row r="45" customFormat="false" ht="15.75" hidden="false" customHeight="true" outlineLevel="0" collapsed="false">
      <c r="A45" s="2" t="n">
        <v>1039</v>
      </c>
      <c r="B45" s="2" t="s">
        <v>48</v>
      </c>
      <c r="C45" s="2" t="s">
        <v>49</v>
      </c>
      <c r="D45" s="2" t="s">
        <v>27</v>
      </c>
      <c r="E45" s="2" t="s">
        <v>17</v>
      </c>
      <c r="F45" s="2" t="n">
        <v>930</v>
      </c>
    </row>
    <row r="46" customFormat="false" ht="15.75" hidden="false" customHeight="true" outlineLevel="0" collapsed="false">
      <c r="A46" s="2" t="n">
        <v>1040</v>
      </c>
      <c r="B46" s="3" t="n">
        <v>46101</v>
      </c>
      <c r="C46" s="4" t="s">
        <v>26</v>
      </c>
      <c r="D46" s="4" t="s">
        <v>27</v>
      </c>
      <c r="E46" s="4" t="s">
        <v>15</v>
      </c>
      <c r="F46" s="2" t="n">
        <v>410</v>
      </c>
    </row>
    <row r="47" customFormat="false" ht="15.75" hidden="false" customHeight="true" outlineLevel="0" collapsed="false">
      <c r="A47" s="2" t="n">
        <v>1041</v>
      </c>
      <c r="B47" s="2" t="s">
        <v>50</v>
      </c>
      <c r="C47" s="2" t="s">
        <v>26</v>
      </c>
      <c r="D47" s="2" t="s">
        <v>27</v>
      </c>
      <c r="E47" s="2" t="s">
        <v>12</v>
      </c>
      <c r="F47" s="2" t="n">
        <v>1330</v>
      </c>
    </row>
    <row r="48" customFormat="false" ht="15.75" hidden="false" customHeight="true" outlineLevel="0" collapsed="false">
      <c r="A48" s="2" t="n">
        <v>1042</v>
      </c>
      <c r="B48" s="3" t="n">
        <v>46103</v>
      </c>
      <c r="C48" s="4" t="s">
        <v>42</v>
      </c>
      <c r="D48" s="4" t="s">
        <v>31</v>
      </c>
      <c r="E48" s="4" t="s">
        <v>22</v>
      </c>
      <c r="F48" s="2" t="n">
        <v>3950</v>
      </c>
    </row>
    <row r="49" customFormat="false" ht="15.75" hidden="false" customHeight="true" outlineLevel="0" collapsed="false">
      <c r="A49" s="2" t="n">
        <v>1043</v>
      </c>
      <c r="B49" s="3" t="n">
        <v>46106</v>
      </c>
      <c r="C49" s="4" t="s">
        <v>24</v>
      </c>
      <c r="D49" s="4" t="s">
        <v>16</v>
      </c>
      <c r="E49" s="4" t="s">
        <v>15</v>
      </c>
      <c r="F49" s="2" t="n">
        <v>5540</v>
      </c>
    </row>
    <row r="50" customFormat="false" ht="15.75" hidden="false" customHeight="true" outlineLevel="0" collapsed="false">
      <c r="A50" s="2" t="n">
        <v>1044</v>
      </c>
      <c r="B50" s="3" t="n">
        <v>46107</v>
      </c>
      <c r="C50" s="4" t="s">
        <v>42</v>
      </c>
      <c r="D50" s="4" t="s">
        <v>31</v>
      </c>
      <c r="E50" s="4" t="s">
        <v>15</v>
      </c>
      <c r="F50" s="2" t="n">
        <v>3800</v>
      </c>
    </row>
    <row r="51" customFormat="false" ht="15.75" hidden="false" customHeight="true" outlineLevel="0" collapsed="false">
      <c r="A51" s="2" t="n">
        <v>1045</v>
      </c>
      <c r="B51" s="3" t="n">
        <v>46108</v>
      </c>
      <c r="C51" s="4" t="s">
        <v>24</v>
      </c>
      <c r="D51" s="4" t="s">
        <v>14</v>
      </c>
      <c r="E51" s="4" t="s">
        <v>15</v>
      </c>
      <c r="F51" s="4" t="s">
        <v>51</v>
      </c>
    </row>
    <row r="52" customFormat="false" ht="15.75" hidden="false" customHeight="true" outlineLevel="0" collapsed="false">
      <c r="A52" s="2" t="n">
        <v>1046</v>
      </c>
      <c r="B52" s="3" t="n">
        <v>46113</v>
      </c>
      <c r="C52" s="4" t="s">
        <v>42</v>
      </c>
      <c r="D52" s="4" t="s">
        <v>31</v>
      </c>
      <c r="E52" s="4" t="s">
        <v>12</v>
      </c>
      <c r="F52" s="2" t="n">
        <v>1120</v>
      </c>
    </row>
    <row r="53" customFormat="false" ht="15.75" hidden="false" customHeight="true" outlineLevel="0" collapsed="false"/>
    <row r="54" customFormat="false" ht="15.75" hidden="false" customHeight="true" outlineLevel="0" collapsed="false">
      <c r="A54" s="2" t="n">
        <v>1047</v>
      </c>
      <c r="B54" s="3" t="n">
        <v>46117</v>
      </c>
      <c r="C54" s="4" t="s">
        <v>37</v>
      </c>
      <c r="D54" s="4" t="s">
        <v>11</v>
      </c>
      <c r="E54" s="4" t="s">
        <v>9</v>
      </c>
      <c r="F54" s="2" t="n">
        <v>5890</v>
      </c>
    </row>
    <row r="55" customFormat="false" ht="15.75" hidden="false" customHeight="true" outlineLevel="0" collapsed="false">
      <c r="A55" s="2" t="n">
        <v>1048</v>
      </c>
      <c r="B55" s="3" t="n">
        <v>46122</v>
      </c>
      <c r="C55" s="4" t="s">
        <v>26</v>
      </c>
      <c r="D55" s="4" t="s">
        <v>27</v>
      </c>
      <c r="E55" s="4" t="s">
        <v>9</v>
      </c>
      <c r="F55" s="2" t="n">
        <v>5770</v>
      </c>
    </row>
    <row r="56" customFormat="false" ht="15.75" hidden="false" customHeight="true" outlineLevel="0" collapsed="false">
      <c r="A56" s="2" t="n">
        <v>1049</v>
      </c>
      <c r="B56" s="2" t="s">
        <v>52</v>
      </c>
      <c r="C56" s="2" t="s">
        <v>26</v>
      </c>
      <c r="D56" s="2" t="s">
        <v>27</v>
      </c>
      <c r="E56" s="2" t="s">
        <v>22</v>
      </c>
      <c r="F56" s="2" t="n">
        <v>4470</v>
      </c>
    </row>
    <row r="57" customFormat="false" ht="15.75" hidden="false" customHeight="true" outlineLevel="0" collapsed="false">
      <c r="A57" s="2" t="n">
        <v>1050</v>
      </c>
      <c r="B57" s="3" t="n">
        <v>46132</v>
      </c>
      <c r="C57" s="4" t="s">
        <v>26</v>
      </c>
      <c r="D57" s="4" t="s">
        <v>27</v>
      </c>
      <c r="E57" s="4" t="s">
        <v>15</v>
      </c>
      <c r="F57" s="2" t="n">
        <v>950</v>
      </c>
    </row>
    <row r="58" customFormat="false" ht="15.75" hidden="false" customHeight="true" outlineLevel="0" collapsed="false">
      <c r="A58" s="2" t="n">
        <v>1051</v>
      </c>
      <c r="B58" s="3" t="n">
        <v>46135</v>
      </c>
      <c r="C58" s="4" t="s">
        <v>10</v>
      </c>
      <c r="D58" s="4" t="s">
        <v>11</v>
      </c>
      <c r="E58" s="4" t="s">
        <v>17</v>
      </c>
      <c r="F58" s="2" t="n">
        <v>1040</v>
      </c>
    </row>
    <row r="59" customFormat="false" ht="15.75" hidden="false" customHeight="true" outlineLevel="0" collapsed="false">
      <c r="A59" s="2" t="n">
        <v>1052</v>
      </c>
      <c r="B59" s="3" t="n">
        <v>46135</v>
      </c>
      <c r="C59" s="4" t="s">
        <v>40</v>
      </c>
      <c r="D59" s="4" t="s">
        <v>25</v>
      </c>
      <c r="E59" s="4" t="s">
        <v>20</v>
      </c>
      <c r="F59" s="2" t="n">
        <v>2440</v>
      </c>
    </row>
    <row r="60" customFormat="false" ht="15.75" hidden="false" customHeight="true" outlineLevel="0" collapsed="false">
      <c r="A60" s="2" t="n">
        <v>1053</v>
      </c>
      <c r="B60" s="3" t="n">
        <v>46138</v>
      </c>
      <c r="C60" s="4" t="s">
        <v>7</v>
      </c>
      <c r="D60" s="4" t="s">
        <v>8</v>
      </c>
      <c r="E60" s="4" t="s">
        <v>15</v>
      </c>
      <c r="F60" s="2" t="n">
        <v>3610</v>
      </c>
    </row>
    <row r="61" customFormat="false" ht="15.75" hidden="false" customHeight="true" outlineLevel="0" collapsed="false">
      <c r="A61" s="2" t="n">
        <v>1047</v>
      </c>
      <c r="B61" s="3" t="n">
        <v>46117</v>
      </c>
      <c r="C61" s="4" t="s">
        <v>37</v>
      </c>
      <c r="D61" s="4" t="s">
        <v>11</v>
      </c>
      <c r="E61" s="4" t="s">
        <v>9</v>
      </c>
      <c r="F61" s="2" t="n">
        <v>5890</v>
      </c>
    </row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26" min="8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</row>
    <row r="2" customFormat="false" ht="15" hidden="false" customHeight="false" outlineLevel="0" collapsed="false">
      <c r="A2" s="2" t="n">
        <v>1001</v>
      </c>
      <c r="B2" s="5" t="n">
        <v>46023</v>
      </c>
      <c r="C2" s="4" t="s">
        <v>7</v>
      </c>
      <c r="D2" s="4" t="s">
        <v>8</v>
      </c>
      <c r="E2" s="4" t="s">
        <v>9</v>
      </c>
      <c r="F2" s="6" t="n">
        <v>3260</v>
      </c>
      <c r="G2" s="4" t="s">
        <v>54</v>
      </c>
    </row>
    <row r="3" customFormat="false" ht="15" hidden="false" customHeight="false" outlineLevel="0" collapsed="false">
      <c r="A3" s="2" t="n">
        <v>1002</v>
      </c>
      <c r="B3" s="5" t="n">
        <v>46024</v>
      </c>
      <c r="C3" s="4" t="s">
        <v>10</v>
      </c>
      <c r="D3" s="4" t="s">
        <v>11</v>
      </c>
      <c r="E3" s="4" t="s">
        <v>12</v>
      </c>
      <c r="F3" s="6" t="n">
        <v>3570</v>
      </c>
      <c r="G3" s="4" t="s">
        <v>54</v>
      </c>
    </row>
    <row r="4" customFormat="false" ht="15" hidden="false" customHeight="false" outlineLevel="0" collapsed="false">
      <c r="A4" s="2" t="n">
        <v>1003</v>
      </c>
      <c r="B4" s="5" t="n">
        <v>46028</v>
      </c>
      <c r="C4" s="4" t="s">
        <v>13</v>
      </c>
      <c r="D4" s="4" t="s">
        <v>16</v>
      </c>
      <c r="E4" s="4" t="s">
        <v>15</v>
      </c>
      <c r="F4" s="6" t="n">
        <v>1940</v>
      </c>
      <c r="G4" s="4" t="s">
        <v>54</v>
      </c>
    </row>
    <row r="5" customFormat="false" ht="15" hidden="false" customHeight="false" outlineLevel="0" collapsed="false">
      <c r="A5" s="2" t="n">
        <v>1004</v>
      </c>
      <c r="B5" s="5" t="n">
        <v>46029</v>
      </c>
      <c r="C5" s="4" t="s">
        <v>13</v>
      </c>
      <c r="D5" s="4" t="s">
        <v>16</v>
      </c>
      <c r="E5" s="4" t="s">
        <v>17</v>
      </c>
      <c r="F5" s="6" t="n">
        <v>4910</v>
      </c>
      <c r="G5" s="4" t="s">
        <v>54</v>
      </c>
    </row>
    <row r="6" customFormat="false" ht="15" hidden="false" customHeight="false" outlineLevel="0" collapsed="false">
      <c r="A6" s="2" t="n">
        <v>1005</v>
      </c>
      <c r="B6" s="5" t="n">
        <v>46038</v>
      </c>
      <c r="C6" s="4" t="s">
        <v>19</v>
      </c>
      <c r="D6" s="4" t="s">
        <v>8</v>
      </c>
      <c r="E6" s="4" t="s">
        <v>20</v>
      </c>
      <c r="F6" s="6" t="n">
        <v>4500</v>
      </c>
      <c r="G6" s="4" t="s">
        <v>54</v>
      </c>
    </row>
    <row r="7" customFormat="false" ht="15" hidden="false" customHeight="false" outlineLevel="0" collapsed="false">
      <c r="A7" s="2" t="n">
        <v>1006</v>
      </c>
      <c r="B7" s="5" t="n">
        <v>46049</v>
      </c>
      <c r="C7" s="4" t="s">
        <v>7</v>
      </c>
      <c r="D7" s="4" t="s">
        <v>8</v>
      </c>
      <c r="E7" s="4" t="s">
        <v>22</v>
      </c>
      <c r="F7" s="6" t="n">
        <v>1350</v>
      </c>
      <c r="G7" s="4" t="s">
        <v>54</v>
      </c>
    </row>
    <row r="8" customFormat="false" ht="15" hidden="false" customHeight="false" outlineLevel="0" collapsed="false">
      <c r="A8" s="2" t="n">
        <v>1007</v>
      </c>
      <c r="B8" s="5" t="n">
        <v>46054</v>
      </c>
      <c r="C8" s="4" t="s">
        <v>10</v>
      </c>
      <c r="D8" s="4" t="s">
        <v>11</v>
      </c>
      <c r="E8" s="4" t="s">
        <v>20</v>
      </c>
      <c r="F8" s="6" t="n">
        <v>5360</v>
      </c>
      <c r="G8" s="4" t="s">
        <v>55</v>
      </c>
    </row>
    <row r="9" customFormat="false" ht="15" hidden="false" customHeight="false" outlineLevel="0" collapsed="false">
      <c r="A9" s="2" t="n">
        <v>1008</v>
      </c>
      <c r="B9" s="5" t="n">
        <v>46057</v>
      </c>
      <c r="C9" s="4" t="s">
        <v>24</v>
      </c>
      <c r="D9" s="4" t="s">
        <v>16</v>
      </c>
      <c r="E9" s="4" t="s">
        <v>22</v>
      </c>
      <c r="F9" s="6" t="n">
        <v>3900</v>
      </c>
      <c r="G9" s="4" t="s">
        <v>55</v>
      </c>
    </row>
    <row r="10" customFormat="false" ht="15" hidden="false" customHeight="false" outlineLevel="0" collapsed="false">
      <c r="A10" s="2" t="n">
        <v>1009</v>
      </c>
      <c r="B10" s="5" t="n">
        <v>46059</v>
      </c>
      <c r="C10" s="4" t="s">
        <v>13</v>
      </c>
      <c r="D10" s="4" t="s">
        <v>16</v>
      </c>
      <c r="E10" s="4" t="s">
        <v>12</v>
      </c>
      <c r="F10" s="6" t="n">
        <v>4040</v>
      </c>
      <c r="G10" s="4" t="s">
        <v>55</v>
      </c>
    </row>
    <row r="11" customFormat="false" ht="15" hidden="false" customHeight="false" outlineLevel="0" collapsed="false">
      <c r="A11" s="2" t="n">
        <v>1010</v>
      </c>
      <c r="B11" s="5" t="n">
        <v>46060</v>
      </c>
      <c r="C11" s="4" t="s">
        <v>26</v>
      </c>
      <c r="D11" s="4" t="s">
        <v>27</v>
      </c>
      <c r="E11" s="4" t="s">
        <v>9</v>
      </c>
      <c r="F11" s="6" t="n">
        <v>5700</v>
      </c>
      <c r="G11" s="4" t="s">
        <v>55</v>
      </c>
    </row>
    <row r="12" customFormat="false" ht="15" hidden="false" customHeight="false" outlineLevel="0" collapsed="false">
      <c r="A12" s="2" t="n">
        <v>1011</v>
      </c>
      <c r="B12" s="5" t="n">
        <v>46066</v>
      </c>
      <c r="C12" s="4" t="s">
        <v>26</v>
      </c>
      <c r="D12" s="4" t="s">
        <v>27</v>
      </c>
      <c r="E12" s="4" t="s">
        <v>17</v>
      </c>
      <c r="F12" s="6" t="n">
        <v>4400</v>
      </c>
      <c r="G12" s="4" t="s">
        <v>55</v>
      </c>
    </row>
    <row r="13" customFormat="false" ht="15" hidden="false" customHeight="false" outlineLevel="0" collapsed="false">
      <c r="A13" s="2" t="n">
        <v>1012</v>
      </c>
      <c r="B13" s="5" t="n">
        <v>46068</v>
      </c>
      <c r="C13" s="4" t="s">
        <v>10</v>
      </c>
      <c r="D13" s="4" t="s">
        <v>11</v>
      </c>
      <c r="E13" s="4" t="s">
        <v>9</v>
      </c>
      <c r="F13" s="6" t="n">
        <v>4510</v>
      </c>
      <c r="G13" s="4" t="s">
        <v>55</v>
      </c>
    </row>
    <row r="14" customFormat="false" ht="15" hidden="false" customHeight="false" outlineLevel="0" collapsed="false">
      <c r="A14" s="2" t="n">
        <v>1013</v>
      </c>
      <c r="B14" s="5" t="n">
        <v>46069</v>
      </c>
      <c r="C14" s="4" t="s">
        <v>24</v>
      </c>
      <c r="D14" s="4" t="s">
        <v>16</v>
      </c>
      <c r="E14" s="4" t="s">
        <v>20</v>
      </c>
      <c r="F14" s="6" t="n">
        <v>2410</v>
      </c>
      <c r="G14" s="4" t="s">
        <v>55</v>
      </c>
    </row>
    <row r="15" customFormat="false" ht="15" hidden="false" customHeight="false" outlineLevel="0" collapsed="false">
      <c r="A15" s="2" t="n">
        <v>1014</v>
      </c>
      <c r="B15" s="5" t="n">
        <v>46070</v>
      </c>
      <c r="C15" s="4" t="s">
        <v>19</v>
      </c>
      <c r="D15" s="4" t="s">
        <v>8</v>
      </c>
      <c r="E15" s="4" t="s">
        <v>12</v>
      </c>
      <c r="F15" s="6" t="n">
        <v>630</v>
      </c>
      <c r="G15" s="4" t="s">
        <v>55</v>
      </c>
    </row>
    <row r="16" customFormat="false" ht="15" hidden="false" customHeight="false" outlineLevel="0" collapsed="false">
      <c r="A16" s="2" t="n">
        <v>1015</v>
      </c>
      <c r="B16" s="5" t="n">
        <v>46072</v>
      </c>
      <c r="C16" s="4" t="s">
        <v>10</v>
      </c>
      <c r="D16" s="4" t="s">
        <v>11</v>
      </c>
      <c r="E16" s="4" t="s">
        <v>20</v>
      </c>
      <c r="F16" s="6" t="n">
        <v>5160</v>
      </c>
      <c r="G16" s="4" t="s">
        <v>55</v>
      </c>
    </row>
    <row r="17" customFormat="false" ht="15" hidden="false" customHeight="false" outlineLevel="0" collapsed="false">
      <c r="A17" s="2" t="n">
        <v>1016</v>
      </c>
      <c r="B17" s="5" t="n">
        <v>46073</v>
      </c>
      <c r="C17" s="4" t="s">
        <v>13</v>
      </c>
      <c r="D17" s="4" t="s">
        <v>16</v>
      </c>
      <c r="E17" s="4" t="s">
        <v>22</v>
      </c>
      <c r="F17" s="6" t="n">
        <v>2390</v>
      </c>
      <c r="G17" s="4" t="s">
        <v>55</v>
      </c>
    </row>
    <row r="18" customFormat="false" ht="15" hidden="false" customHeight="false" outlineLevel="0" collapsed="false">
      <c r="A18" s="2" t="n">
        <v>1017</v>
      </c>
      <c r="B18" s="5" t="n">
        <v>46076</v>
      </c>
      <c r="C18" s="4" t="s">
        <v>30</v>
      </c>
      <c r="D18" s="4" t="s">
        <v>31</v>
      </c>
      <c r="E18" s="4" t="s">
        <v>15</v>
      </c>
      <c r="F18" s="6" t="n">
        <v>3920</v>
      </c>
      <c r="G18" s="4" t="s">
        <v>55</v>
      </c>
    </row>
    <row r="19" customFormat="false" ht="15" hidden="false" customHeight="false" outlineLevel="0" collapsed="false">
      <c r="A19" s="2" t="n">
        <v>1018</v>
      </c>
      <c r="B19" s="5" t="n">
        <v>46078</v>
      </c>
      <c r="C19" s="4" t="s">
        <v>19</v>
      </c>
      <c r="D19" s="4" t="s">
        <v>8</v>
      </c>
      <c r="E19" s="4" t="s">
        <v>15</v>
      </c>
      <c r="F19" s="6" t="n">
        <v>3340</v>
      </c>
      <c r="G19" s="4" t="s">
        <v>55</v>
      </c>
    </row>
    <row r="20" customFormat="false" ht="15" hidden="false" customHeight="false" outlineLevel="0" collapsed="false">
      <c r="A20" s="2" t="n">
        <v>1019</v>
      </c>
      <c r="B20" s="5" t="n">
        <v>46079</v>
      </c>
      <c r="C20" s="4" t="s">
        <v>13</v>
      </c>
      <c r="D20" s="4" t="s">
        <v>16</v>
      </c>
      <c r="E20" s="4" t="s">
        <v>17</v>
      </c>
      <c r="F20" s="6" t="n">
        <v>2240</v>
      </c>
      <c r="G20" s="4" t="s">
        <v>55</v>
      </c>
    </row>
    <row r="21" customFormat="false" ht="15.75" hidden="false" customHeight="true" outlineLevel="0" collapsed="false">
      <c r="A21" s="2" t="n">
        <v>1020</v>
      </c>
      <c r="B21" s="5" t="n">
        <v>46079</v>
      </c>
      <c r="C21" s="4" t="s">
        <v>34</v>
      </c>
      <c r="D21" s="4" t="s">
        <v>16</v>
      </c>
      <c r="E21" s="4" t="s">
        <v>22</v>
      </c>
      <c r="F21" s="6" t="n">
        <v>1260</v>
      </c>
      <c r="G21" s="4" t="s">
        <v>55</v>
      </c>
    </row>
    <row r="22" customFormat="false" ht="15.75" hidden="false" customHeight="true" outlineLevel="0" collapsed="false">
      <c r="A22" s="2" t="n">
        <v>1021</v>
      </c>
      <c r="B22" s="5" t="n">
        <v>46080</v>
      </c>
      <c r="C22" s="4" t="s">
        <v>7</v>
      </c>
      <c r="D22" s="4" t="s">
        <v>8</v>
      </c>
      <c r="E22" s="4" t="s">
        <v>15</v>
      </c>
      <c r="F22" s="6" t="n">
        <v>4800</v>
      </c>
      <c r="G22" s="4" t="s">
        <v>55</v>
      </c>
    </row>
    <row r="23" customFormat="false" ht="15.75" hidden="false" customHeight="true" outlineLevel="0" collapsed="false">
      <c r="A23" s="2" t="n">
        <v>1022</v>
      </c>
      <c r="B23" s="5" t="n">
        <v>46086</v>
      </c>
      <c r="C23" s="4" t="s">
        <v>30</v>
      </c>
      <c r="D23" s="4" t="s">
        <v>31</v>
      </c>
      <c r="E23" s="4" t="s">
        <v>12</v>
      </c>
      <c r="F23" s="6" t="n">
        <v>2980</v>
      </c>
      <c r="G23" s="4" t="s">
        <v>56</v>
      </c>
    </row>
    <row r="24" customFormat="false" ht="15.75" hidden="false" customHeight="true" outlineLevel="0" collapsed="false">
      <c r="A24" s="2" t="n">
        <v>1023</v>
      </c>
      <c r="B24" s="5" t="n">
        <v>46086</v>
      </c>
      <c r="C24" s="4" t="s">
        <v>37</v>
      </c>
      <c r="D24" s="4" t="s">
        <v>11</v>
      </c>
      <c r="E24" s="4" t="s">
        <v>12</v>
      </c>
      <c r="F24" s="6" t="n">
        <v>5960</v>
      </c>
      <c r="G24" s="4" t="s">
        <v>56</v>
      </c>
    </row>
    <row r="25" customFormat="false" ht="15.75" hidden="false" customHeight="true" outlineLevel="0" collapsed="false">
      <c r="A25" s="2" t="n">
        <v>1024</v>
      </c>
      <c r="B25" s="5" t="n">
        <v>46087</v>
      </c>
      <c r="C25" s="4" t="s">
        <v>7</v>
      </c>
      <c r="D25" s="4" t="s">
        <v>8</v>
      </c>
      <c r="E25" s="4" t="s">
        <v>17</v>
      </c>
      <c r="F25" s="6" t="n">
        <v>1590</v>
      </c>
      <c r="G25" s="4" t="s">
        <v>56</v>
      </c>
    </row>
    <row r="26" customFormat="false" ht="15.75" hidden="false" customHeight="true" outlineLevel="0" collapsed="false">
      <c r="A26" s="2" t="n">
        <v>1025</v>
      </c>
      <c r="B26" s="5" t="n">
        <v>46087</v>
      </c>
      <c r="C26" s="4" t="s">
        <v>13</v>
      </c>
      <c r="D26" s="4" t="s">
        <v>16</v>
      </c>
      <c r="E26" s="4" t="s">
        <v>17</v>
      </c>
      <c r="F26" s="6" t="n">
        <v>2140</v>
      </c>
      <c r="G26" s="4" t="s">
        <v>56</v>
      </c>
    </row>
    <row r="27" customFormat="false" ht="15.75" hidden="false" customHeight="true" outlineLevel="0" collapsed="false">
      <c r="A27" s="2" t="n">
        <v>1026</v>
      </c>
      <c r="B27" s="5" t="n">
        <v>46088</v>
      </c>
      <c r="C27" s="4" t="s">
        <v>40</v>
      </c>
      <c r="D27" s="4" t="s">
        <v>16</v>
      </c>
      <c r="E27" s="4" t="s">
        <v>9</v>
      </c>
      <c r="F27" s="6" t="n">
        <v>5480</v>
      </c>
      <c r="G27" s="4" t="s">
        <v>56</v>
      </c>
    </row>
    <row r="28" customFormat="false" ht="15.75" hidden="false" customHeight="true" outlineLevel="0" collapsed="false">
      <c r="A28" s="2" t="n">
        <v>1027</v>
      </c>
      <c r="B28" s="5" t="n">
        <v>46091</v>
      </c>
      <c r="C28" s="4" t="s">
        <v>37</v>
      </c>
      <c r="D28" s="4" t="s">
        <v>11</v>
      </c>
      <c r="E28" s="4" t="s">
        <v>22</v>
      </c>
      <c r="F28" s="6" t="n">
        <v>440</v>
      </c>
      <c r="G28" s="4" t="s">
        <v>56</v>
      </c>
    </row>
    <row r="29" customFormat="false" ht="15.75" hidden="false" customHeight="true" outlineLevel="0" collapsed="false">
      <c r="A29" s="2" t="n">
        <v>1028</v>
      </c>
      <c r="B29" s="5" t="n">
        <v>46093</v>
      </c>
      <c r="C29" s="4" t="s">
        <v>42</v>
      </c>
      <c r="D29" s="4" t="s">
        <v>31</v>
      </c>
      <c r="E29" s="4" t="s">
        <v>20</v>
      </c>
      <c r="F29" s="6" t="n">
        <v>4290</v>
      </c>
      <c r="G29" s="4" t="s">
        <v>56</v>
      </c>
    </row>
    <row r="30" customFormat="false" ht="15.75" hidden="false" customHeight="true" outlineLevel="0" collapsed="false">
      <c r="A30" s="2" t="n">
        <v>1029</v>
      </c>
      <c r="B30" s="5" t="n">
        <v>46093</v>
      </c>
      <c r="C30" s="4" t="s">
        <v>24</v>
      </c>
      <c r="D30" s="4" t="s">
        <v>16</v>
      </c>
      <c r="E30" s="4" t="s">
        <v>20</v>
      </c>
      <c r="F30" s="6" t="n">
        <v>6190</v>
      </c>
      <c r="G30" s="4" t="s">
        <v>56</v>
      </c>
    </row>
    <row r="31" customFormat="false" ht="15.75" hidden="false" customHeight="true" outlineLevel="0" collapsed="false">
      <c r="A31" s="2" t="n">
        <v>1030</v>
      </c>
      <c r="B31" s="5" t="n">
        <v>46093</v>
      </c>
      <c r="C31" s="4" t="s">
        <v>37</v>
      </c>
      <c r="D31" s="4" t="s">
        <v>11</v>
      </c>
      <c r="E31" s="4" t="s">
        <v>17</v>
      </c>
      <c r="F31" s="6" t="n">
        <v>1220</v>
      </c>
      <c r="G31" s="4" t="s">
        <v>56</v>
      </c>
    </row>
    <row r="32" customFormat="false" ht="15.75" hidden="false" customHeight="true" outlineLevel="0" collapsed="false">
      <c r="A32" s="2" t="n">
        <v>1031</v>
      </c>
      <c r="B32" s="5" t="n">
        <v>46095</v>
      </c>
      <c r="C32" s="4" t="s">
        <v>24</v>
      </c>
      <c r="D32" s="4" t="s">
        <v>16</v>
      </c>
      <c r="E32" s="4" t="s">
        <v>20</v>
      </c>
      <c r="F32" s="6" t="n">
        <v>2080</v>
      </c>
      <c r="G32" s="4" t="s">
        <v>56</v>
      </c>
    </row>
    <row r="33" customFormat="false" ht="15.75" hidden="false" customHeight="true" outlineLevel="0" collapsed="false">
      <c r="A33" s="2" t="n">
        <v>1032</v>
      </c>
      <c r="B33" s="5" t="n">
        <v>46095</v>
      </c>
      <c r="C33" s="4" t="s">
        <v>42</v>
      </c>
      <c r="D33" s="4" t="s">
        <v>31</v>
      </c>
      <c r="E33" s="4" t="s">
        <v>12</v>
      </c>
      <c r="F33" s="6" t="n">
        <v>800</v>
      </c>
      <c r="G33" s="4" t="s">
        <v>56</v>
      </c>
    </row>
    <row r="34" customFormat="false" ht="15.75" hidden="false" customHeight="true" outlineLevel="0" collapsed="false">
      <c r="A34" s="2" t="n">
        <v>1033</v>
      </c>
      <c r="B34" s="5" t="n">
        <v>46096</v>
      </c>
      <c r="C34" s="4" t="s">
        <v>34</v>
      </c>
      <c r="D34" s="4" t="s">
        <v>16</v>
      </c>
      <c r="E34" s="4" t="s">
        <v>17</v>
      </c>
      <c r="F34" s="6" t="n">
        <v>3340</v>
      </c>
      <c r="G34" s="4" t="s">
        <v>56</v>
      </c>
    </row>
    <row r="35" customFormat="false" ht="15.75" hidden="false" customHeight="true" outlineLevel="0" collapsed="false">
      <c r="A35" s="2" t="n">
        <v>1034</v>
      </c>
      <c r="B35" s="5" t="n">
        <v>46096</v>
      </c>
      <c r="C35" s="4" t="s">
        <v>10</v>
      </c>
      <c r="D35" s="4" t="s">
        <v>11</v>
      </c>
      <c r="E35" s="4" t="s">
        <v>17</v>
      </c>
      <c r="F35" s="6" t="n">
        <v>4510</v>
      </c>
      <c r="G35" s="4" t="s">
        <v>56</v>
      </c>
    </row>
    <row r="36" customFormat="false" ht="15.75" hidden="false" customHeight="true" outlineLevel="0" collapsed="false">
      <c r="A36" s="2" t="n">
        <v>1035</v>
      </c>
      <c r="B36" s="5" t="n">
        <v>46097</v>
      </c>
      <c r="C36" s="4" t="s">
        <v>42</v>
      </c>
      <c r="D36" s="4" t="s">
        <v>31</v>
      </c>
      <c r="E36" s="4" t="s">
        <v>22</v>
      </c>
      <c r="F36" s="6" t="n">
        <v>1650</v>
      </c>
      <c r="G36" s="4" t="s">
        <v>56</v>
      </c>
    </row>
    <row r="37" customFormat="false" ht="15.75" hidden="false" customHeight="true" outlineLevel="0" collapsed="false">
      <c r="A37" s="2" t="n">
        <v>1036</v>
      </c>
      <c r="B37" s="5" t="n">
        <v>46097</v>
      </c>
      <c r="C37" s="4" t="s">
        <v>30</v>
      </c>
      <c r="D37" s="4" t="s">
        <v>31</v>
      </c>
      <c r="E37" s="4" t="s">
        <v>17</v>
      </c>
      <c r="F37" s="6" t="n">
        <v>5350</v>
      </c>
      <c r="G37" s="4" t="s">
        <v>56</v>
      </c>
    </row>
    <row r="38" customFormat="false" ht="15.75" hidden="false" customHeight="true" outlineLevel="0" collapsed="false">
      <c r="A38" s="2" t="n">
        <v>1037</v>
      </c>
      <c r="B38" s="5" t="n">
        <v>46100</v>
      </c>
      <c r="C38" s="4" t="s">
        <v>26</v>
      </c>
      <c r="D38" s="4" t="s">
        <v>27</v>
      </c>
      <c r="E38" s="4" t="s">
        <v>9</v>
      </c>
      <c r="F38" s="6" t="n">
        <v>5040</v>
      </c>
      <c r="G38" s="4" t="s">
        <v>56</v>
      </c>
    </row>
    <row r="39" customFormat="false" ht="15.75" hidden="false" customHeight="true" outlineLevel="0" collapsed="false">
      <c r="A39" s="2" t="n">
        <v>1038</v>
      </c>
      <c r="B39" s="5" t="n">
        <v>46101</v>
      </c>
      <c r="C39" s="4" t="s">
        <v>10</v>
      </c>
      <c r="D39" s="4" t="s">
        <v>11</v>
      </c>
      <c r="E39" s="4" t="s">
        <v>22</v>
      </c>
      <c r="F39" s="6" t="n">
        <v>5480</v>
      </c>
      <c r="G39" s="4" t="s">
        <v>56</v>
      </c>
    </row>
    <row r="40" customFormat="false" ht="15.75" hidden="false" customHeight="true" outlineLevel="0" collapsed="false">
      <c r="A40" s="2" t="n">
        <v>1039</v>
      </c>
      <c r="B40" s="5" t="n">
        <v>46101</v>
      </c>
      <c r="C40" s="4" t="s">
        <v>49</v>
      </c>
      <c r="D40" s="4" t="s">
        <v>27</v>
      </c>
      <c r="E40" s="4" t="s">
        <v>17</v>
      </c>
      <c r="F40" s="6" t="n">
        <v>930</v>
      </c>
      <c r="G40" s="4" t="s">
        <v>56</v>
      </c>
    </row>
    <row r="41" customFormat="false" ht="15.75" hidden="false" customHeight="true" outlineLevel="0" collapsed="false">
      <c r="A41" s="2" t="n">
        <v>1040</v>
      </c>
      <c r="B41" s="5" t="n">
        <v>46101</v>
      </c>
      <c r="C41" s="4" t="s">
        <v>26</v>
      </c>
      <c r="D41" s="4" t="s">
        <v>27</v>
      </c>
      <c r="E41" s="4" t="s">
        <v>15</v>
      </c>
      <c r="F41" s="6" t="n">
        <v>410</v>
      </c>
      <c r="G41" s="4" t="s">
        <v>56</v>
      </c>
    </row>
    <row r="42" customFormat="false" ht="15.75" hidden="false" customHeight="true" outlineLevel="0" collapsed="false">
      <c r="A42" s="2" t="n">
        <v>1041</v>
      </c>
      <c r="B42" s="5" t="n">
        <v>46102</v>
      </c>
      <c r="C42" s="4" t="s">
        <v>26</v>
      </c>
      <c r="D42" s="4" t="s">
        <v>27</v>
      </c>
      <c r="E42" s="4" t="s">
        <v>12</v>
      </c>
      <c r="F42" s="6" t="n">
        <v>1330</v>
      </c>
      <c r="G42" s="4" t="s">
        <v>56</v>
      </c>
    </row>
    <row r="43" customFormat="false" ht="15.75" hidden="false" customHeight="true" outlineLevel="0" collapsed="false">
      <c r="A43" s="2" t="n">
        <v>1042</v>
      </c>
      <c r="B43" s="5" t="n">
        <v>46103</v>
      </c>
      <c r="C43" s="4" t="s">
        <v>42</v>
      </c>
      <c r="D43" s="4" t="s">
        <v>31</v>
      </c>
      <c r="E43" s="4" t="s">
        <v>22</v>
      </c>
      <c r="F43" s="6" t="n">
        <v>3950</v>
      </c>
      <c r="G43" s="4" t="s">
        <v>56</v>
      </c>
    </row>
    <row r="44" customFormat="false" ht="15.75" hidden="false" customHeight="true" outlineLevel="0" collapsed="false">
      <c r="A44" s="2" t="n">
        <v>1043</v>
      </c>
      <c r="B44" s="5" t="n">
        <v>46106</v>
      </c>
      <c r="C44" s="4" t="s">
        <v>24</v>
      </c>
      <c r="D44" s="4" t="s">
        <v>16</v>
      </c>
      <c r="E44" s="4" t="s">
        <v>15</v>
      </c>
      <c r="F44" s="6" t="n">
        <v>5540</v>
      </c>
      <c r="G44" s="4" t="s">
        <v>56</v>
      </c>
    </row>
    <row r="45" customFormat="false" ht="15.75" hidden="false" customHeight="true" outlineLevel="0" collapsed="false">
      <c r="A45" s="2" t="n">
        <v>1044</v>
      </c>
      <c r="B45" s="5" t="n">
        <v>46107</v>
      </c>
      <c r="C45" s="4" t="s">
        <v>42</v>
      </c>
      <c r="D45" s="4" t="s">
        <v>31</v>
      </c>
      <c r="E45" s="4" t="s">
        <v>15</v>
      </c>
      <c r="F45" s="6" t="n">
        <v>3800</v>
      </c>
      <c r="G45" s="4" t="s">
        <v>56</v>
      </c>
    </row>
    <row r="46" customFormat="false" ht="15.75" hidden="false" customHeight="true" outlineLevel="0" collapsed="false">
      <c r="A46" s="2" t="n">
        <v>1045</v>
      </c>
      <c r="B46" s="5" t="n">
        <v>46108</v>
      </c>
      <c r="C46" s="4" t="s">
        <v>24</v>
      </c>
      <c r="D46" s="4" t="s">
        <v>16</v>
      </c>
      <c r="E46" s="4" t="s">
        <v>15</v>
      </c>
      <c r="F46" s="6" t="n">
        <v>4960</v>
      </c>
      <c r="G46" s="4" t="s">
        <v>56</v>
      </c>
    </row>
    <row r="47" customFormat="false" ht="15.75" hidden="false" customHeight="true" outlineLevel="0" collapsed="false">
      <c r="A47" s="2" t="n">
        <v>1046</v>
      </c>
      <c r="B47" s="5" t="n">
        <v>46113</v>
      </c>
      <c r="C47" s="4" t="s">
        <v>42</v>
      </c>
      <c r="D47" s="4" t="s">
        <v>31</v>
      </c>
      <c r="E47" s="4" t="s">
        <v>12</v>
      </c>
      <c r="F47" s="6" t="n">
        <v>1120</v>
      </c>
      <c r="G47" s="4" t="s">
        <v>57</v>
      </c>
    </row>
    <row r="48" customFormat="false" ht="15.75" hidden="false" customHeight="true" outlineLevel="0" collapsed="false">
      <c r="A48" s="2" t="n">
        <v>1047</v>
      </c>
      <c r="B48" s="5" t="n">
        <v>46117</v>
      </c>
      <c r="C48" s="4" t="s">
        <v>37</v>
      </c>
      <c r="D48" s="4" t="s">
        <v>11</v>
      </c>
      <c r="E48" s="4" t="s">
        <v>9</v>
      </c>
      <c r="F48" s="6" t="n">
        <v>5890</v>
      </c>
      <c r="G48" s="4" t="s">
        <v>57</v>
      </c>
    </row>
    <row r="49" customFormat="false" ht="15.75" hidden="false" customHeight="true" outlineLevel="0" collapsed="false">
      <c r="A49" s="2" t="n">
        <v>1048</v>
      </c>
      <c r="B49" s="5" t="n">
        <v>46122</v>
      </c>
      <c r="C49" s="4" t="s">
        <v>26</v>
      </c>
      <c r="D49" s="4" t="s">
        <v>27</v>
      </c>
      <c r="E49" s="4" t="s">
        <v>9</v>
      </c>
      <c r="F49" s="6" t="n">
        <v>5770</v>
      </c>
      <c r="G49" s="4" t="s">
        <v>57</v>
      </c>
    </row>
    <row r="50" customFormat="false" ht="15.75" hidden="false" customHeight="true" outlineLevel="0" collapsed="false">
      <c r="A50" s="2" t="n">
        <v>1049</v>
      </c>
      <c r="B50" s="5" t="n">
        <v>46125</v>
      </c>
      <c r="C50" s="4" t="s">
        <v>26</v>
      </c>
      <c r="D50" s="4" t="s">
        <v>27</v>
      </c>
      <c r="E50" s="4" t="s">
        <v>22</v>
      </c>
      <c r="F50" s="6" t="n">
        <v>4470</v>
      </c>
      <c r="G50" s="4" t="s">
        <v>57</v>
      </c>
    </row>
    <row r="51" customFormat="false" ht="15.75" hidden="false" customHeight="true" outlineLevel="0" collapsed="false">
      <c r="A51" s="2" t="n">
        <v>1050</v>
      </c>
      <c r="B51" s="5" t="n">
        <v>46132</v>
      </c>
      <c r="C51" s="4" t="s">
        <v>26</v>
      </c>
      <c r="D51" s="4" t="s">
        <v>27</v>
      </c>
      <c r="E51" s="4" t="s">
        <v>15</v>
      </c>
      <c r="F51" s="6" t="n">
        <v>950</v>
      </c>
      <c r="G51" s="4" t="s">
        <v>57</v>
      </c>
    </row>
    <row r="52" customFormat="false" ht="15.75" hidden="false" customHeight="true" outlineLevel="0" collapsed="false">
      <c r="A52" s="2" t="n">
        <v>1051</v>
      </c>
      <c r="B52" s="5" t="n">
        <v>46135</v>
      </c>
      <c r="C52" s="4" t="s">
        <v>10</v>
      </c>
      <c r="D52" s="4" t="s">
        <v>11</v>
      </c>
      <c r="E52" s="4" t="s">
        <v>17</v>
      </c>
      <c r="F52" s="6" t="n">
        <v>1040</v>
      </c>
      <c r="G52" s="4" t="s">
        <v>57</v>
      </c>
    </row>
    <row r="53" customFormat="false" ht="15.75" hidden="false" customHeight="true" outlineLevel="0" collapsed="false">
      <c r="A53" s="2" t="n">
        <v>1052</v>
      </c>
      <c r="B53" s="5" t="n">
        <v>46135</v>
      </c>
      <c r="C53" s="4" t="s">
        <v>40</v>
      </c>
      <c r="D53" s="4" t="s">
        <v>16</v>
      </c>
      <c r="E53" s="4" t="s">
        <v>20</v>
      </c>
      <c r="F53" s="6" t="n">
        <v>2440</v>
      </c>
      <c r="G53" s="4" t="s">
        <v>57</v>
      </c>
    </row>
    <row r="54" customFormat="false" ht="15.75" hidden="false" customHeight="true" outlineLevel="0" collapsed="false">
      <c r="A54" s="2" t="n">
        <v>1053</v>
      </c>
      <c r="B54" s="5" t="n">
        <v>46138</v>
      </c>
      <c r="C54" s="4" t="s">
        <v>7</v>
      </c>
      <c r="D54" s="4" t="s">
        <v>8</v>
      </c>
      <c r="E54" s="4" t="s">
        <v>15</v>
      </c>
      <c r="F54" s="6" t="n">
        <v>3610</v>
      </c>
      <c r="G54" s="4" t="s">
        <v>57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1" t="s">
        <v>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customFormat="false" ht="15" hidden="false" customHeight="false" outlineLevel="0" collapsed="false">
      <c r="A2" s="7" t="s">
        <v>11</v>
      </c>
      <c r="B2" s="6" t="n">
        <f aca="false">SUMIFS(Prata!$F$2:$F$54,Prata!$D$2:$D$54,$A2,Prata!$G$2:$G$54,B$1)</f>
        <v>3570</v>
      </c>
      <c r="C2" s="6" t="n">
        <f aca="false">SUMIFS(Prata!$F$2:$F$54,Prata!$D$2:$D$54,$A2,Prata!$G$2:$G$54,C$1)</f>
        <v>15030</v>
      </c>
      <c r="D2" s="6" t="n">
        <f aca="false">SUMIFS(Prata!$F$2:$F$54,Prata!$D$2:$D$54,$A2,Prata!$G$2:$G$54,D$1)</f>
        <v>17610</v>
      </c>
      <c r="E2" s="6" t="n">
        <f aca="false">SUMIFS(Prata!$F$2:$F$54,Prata!$D$2:$D$54,$A2,Prata!$G$2:$G$54,E$1)</f>
        <v>6930</v>
      </c>
      <c r="F2" s="6" t="n">
        <f aca="false">SUM(B2:E2)</f>
        <v>43140</v>
      </c>
    </row>
    <row r="3" customFormat="false" ht="15" hidden="false" customHeight="false" outlineLevel="0" collapsed="false">
      <c r="A3" s="7" t="s">
        <v>31</v>
      </c>
      <c r="B3" s="6" t="n">
        <f aca="false">SUMIFS(Prata!$F$2:$F$54,Prata!$D$2:$D$54,$A3,Prata!$G$2:$G$54,B$1)</f>
        <v>0</v>
      </c>
      <c r="C3" s="6" t="n">
        <f aca="false">SUMIFS(Prata!$F$2:$F$54,Prata!$D$2:$D$54,$A3,Prata!$G$2:$G$54,C$1)</f>
        <v>3920</v>
      </c>
      <c r="D3" s="6" t="n">
        <f aca="false">SUMIFS(Prata!$F$2:$F$54,Prata!$D$2:$D$54,$A3,Prata!$G$2:$G$54,D$1)</f>
        <v>22820</v>
      </c>
      <c r="E3" s="6" t="n">
        <f aca="false">SUMIFS(Prata!$F$2:$F$54,Prata!$D$2:$D$54,$A3,Prata!$G$2:$G$54,E$1)</f>
        <v>1120</v>
      </c>
      <c r="F3" s="6" t="n">
        <f aca="false">SUM(B3:E3)</f>
        <v>27860</v>
      </c>
    </row>
    <row r="4" customFormat="false" ht="15" hidden="false" customHeight="false" outlineLevel="0" collapsed="false">
      <c r="A4" s="7" t="s">
        <v>27</v>
      </c>
      <c r="B4" s="6" t="n">
        <f aca="false">SUMIFS(Prata!$F$2:$F$54,Prata!$D$2:$D$54,$A4,Prata!$G$2:$G$54,B$1)</f>
        <v>0</v>
      </c>
      <c r="C4" s="6" t="n">
        <f aca="false">SUMIFS(Prata!$F$2:$F$54,Prata!$D$2:$D$54,$A4,Prata!$G$2:$G$54,C$1)</f>
        <v>10100</v>
      </c>
      <c r="D4" s="6" t="n">
        <f aca="false">SUMIFS(Prata!$F$2:$F$54,Prata!$D$2:$D$54,$A4,Prata!$G$2:$G$54,D$1)</f>
        <v>7710</v>
      </c>
      <c r="E4" s="6" t="n">
        <f aca="false">SUMIFS(Prata!$F$2:$F$54,Prata!$D$2:$D$54,$A4,Prata!$G$2:$G$54,E$1)</f>
        <v>11190</v>
      </c>
      <c r="F4" s="6" t="n">
        <f aca="false">SUM(B4:E4)</f>
        <v>29000</v>
      </c>
    </row>
    <row r="5" customFormat="false" ht="15" hidden="false" customHeight="false" outlineLevel="0" collapsed="false">
      <c r="A5" s="7" t="s">
        <v>8</v>
      </c>
      <c r="B5" s="6" t="n">
        <f aca="false">SUMIFS(Prata!$F$2:$F$54,Prata!$D$2:$D$54,$A5,Prata!$G$2:$G$54,B$1)</f>
        <v>9110</v>
      </c>
      <c r="C5" s="6" t="n">
        <f aca="false">SUMIFS(Prata!$F$2:$F$54,Prata!$D$2:$D$54,$A5,Prata!$G$2:$G$54,C$1)</f>
        <v>8770</v>
      </c>
      <c r="D5" s="6" t="n">
        <f aca="false">SUMIFS(Prata!$F$2:$F$54,Prata!$D$2:$D$54,$A5,Prata!$G$2:$G$54,D$1)</f>
        <v>1590</v>
      </c>
      <c r="E5" s="6" t="n">
        <f aca="false">SUMIFS(Prata!$F$2:$F$54,Prata!$D$2:$D$54,$A5,Prata!$G$2:$G$54,E$1)</f>
        <v>3610</v>
      </c>
      <c r="F5" s="6" t="n">
        <f aca="false">SUM(B5:E5)</f>
        <v>23080</v>
      </c>
    </row>
    <row r="6" customFormat="false" ht="15" hidden="false" customHeight="false" outlineLevel="0" collapsed="false">
      <c r="A6" s="7" t="s">
        <v>16</v>
      </c>
      <c r="B6" s="6" t="n">
        <f aca="false">SUMIFS(Prata!$F$2:$F$54,Prata!$D$2:$D$54,$A6,Prata!$G$2:$G$54,B$1)</f>
        <v>6850</v>
      </c>
      <c r="C6" s="6" t="n">
        <f aca="false">SUMIFS(Prata!$F$2:$F$54,Prata!$D$2:$D$54,$A6,Prata!$G$2:$G$54,C$1)</f>
        <v>16240</v>
      </c>
      <c r="D6" s="8" t="n">
        <f aca="false">SUMIFS(Prata!$F$2:$F$54,Prata!$D$2:$D$54,$A6,Prata!$G$2:$G$54,D$1)</f>
        <v>29730</v>
      </c>
      <c r="E6" s="6" t="n">
        <f aca="false">SUMIFS(Prata!$F$2:$F$54,Prata!$D$2:$D$54,$A6,Prata!$G$2:$G$54,E$1)</f>
        <v>2440</v>
      </c>
      <c r="F6" s="6" t="n">
        <f aca="false">SUM(B6:E6)</f>
        <v>55260</v>
      </c>
    </row>
    <row r="7" customFormat="false" ht="15" hidden="false" customHeight="false" outlineLevel="0" collapsed="false">
      <c r="A7" s="7" t="s">
        <v>58</v>
      </c>
      <c r="B7" s="9" t="n">
        <f aca="false">SUM(B2:B6)</f>
        <v>19530</v>
      </c>
      <c r="C7" s="9" t="n">
        <f aca="false">SUM(C2:C6)</f>
        <v>54060</v>
      </c>
      <c r="D7" s="9" t="n">
        <f aca="false">SUM(D2:D6)</f>
        <v>79460</v>
      </c>
      <c r="E7" s="9" t="n">
        <f aca="false">SUM(E2:E6)</f>
        <v>25290</v>
      </c>
      <c r="F7" s="9" t="n">
        <f aca="false">SUM(F2:F6)</f>
        <v>178340</v>
      </c>
    </row>
    <row r="9" customFormat="false" ht="15" hidden="false" customHeight="false" outlineLevel="0" collapsed="false">
      <c r="A9" s="10" t="s">
        <v>59</v>
      </c>
    </row>
    <row r="10" customFormat="false" ht="15" hidden="false" customHeight="true" outlineLevel="0" collapsed="false">
      <c r="A10" s="11" t="s">
        <v>60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0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5"/>
    <col collapsed="false" customWidth="true" hidden="false" outlineLevel="0" max="3" min="3" style="0" width="34"/>
    <col collapsed="false" customWidth="true" hidden="false" outlineLevel="0" max="4" min="4" style="0" width="90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" t="s">
        <v>61</v>
      </c>
      <c r="B1" s="1" t="s">
        <v>62</v>
      </c>
      <c r="C1" s="1" t="s">
        <v>63</v>
      </c>
      <c r="D1" s="1" t="s">
        <v>64</v>
      </c>
    </row>
    <row r="2" customFormat="false" ht="15" hidden="false" customHeight="false" outlineLevel="0" collapsed="false">
      <c r="A2" s="13" t="s">
        <v>65</v>
      </c>
      <c r="B2" s="13" t="s">
        <v>66</v>
      </c>
      <c r="C2" s="13" t="s">
        <v>67</v>
      </c>
      <c r="D2" s="13" t="s">
        <v>68</v>
      </c>
    </row>
    <row r="3" customFormat="false" ht="41.75" hidden="false" customHeight="false" outlineLevel="0" collapsed="false">
      <c r="A3" s="13" t="s">
        <v>69</v>
      </c>
      <c r="B3" s="13" t="s">
        <v>70</v>
      </c>
      <c r="C3" s="13" t="s">
        <v>71</v>
      </c>
      <c r="D3" s="13" t="s">
        <v>72</v>
      </c>
    </row>
    <row r="4" customFormat="false" ht="41.75" hidden="false" customHeight="false" outlineLevel="0" collapsed="false">
      <c r="A4" s="13" t="s">
        <v>73</v>
      </c>
      <c r="B4" s="13" t="s">
        <v>74</v>
      </c>
      <c r="C4" s="13" t="s">
        <v>75</v>
      </c>
      <c r="D4" s="13" t="s">
        <v>76</v>
      </c>
    </row>
    <row r="5" customFormat="false" ht="28.35" hidden="false" customHeight="false" outlineLevel="0" collapsed="false">
      <c r="A5" s="13" t="s">
        <v>77</v>
      </c>
      <c r="B5" s="13" t="s">
        <v>78</v>
      </c>
      <c r="C5" s="13" t="s">
        <v>79</v>
      </c>
      <c r="D5" s="13" t="s">
        <v>80</v>
      </c>
    </row>
    <row r="6" customFormat="false" ht="28.35" hidden="false" customHeight="false" outlineLevel="0" collapsed="false">
      <c r="A6" s="13" t="s">
        <v>81</v>
      </c>
      <c r="B6" s="13" t="s">
        <v>82</v>
      </c>
      <c r="C6" s="13" t="s">
        <v>83</v>
      </c>
      <c r="D6" s="13" t="s">
        <v>84</v>
      </c>
    </row>
    <row r="7" customFormat="false" ht="28.35" hidden="false" customHeight="false" outlineLevel="0" collapsed="false">
      <c r="A7" s="13" t="s">
        <v>85</v>
      </c>
      <c r="B7" s="13" t="s">
        <v>86</v>
      </c>
      <c r="C7" s="13" t="s">
        <v>87</v>
      </c>
      <c r="D7" s="1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2026-10-17T02:23:00Z</dcterms:created>
  <dc:creator>openpyxl</dc:creator>
  <dc:description/>
  <dc:language>en-US</dc:language>
  <cp:lastModifiedBy/>
  <dcterms:modified xsi:type="dcterms:W3CDTF">2026-10-23T14:31:24Z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